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Pricing Calculator" sheetId="1" state="visible" r:id="rId1"/>
    <sheet name="Monthly Pricing 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0.0%"/>
    <numFmt numFmtId="166" formatCode="€#,##0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808080"/>
      <sz val="9"/>
    </font>
    <font>
      <b val="1"/>
      <color rgb="00FFFFFF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4" fontId="4" fillId="3" borderId="1" pivotButton="0" quotePrefix="0" xfId="0"/>
    <xf numFmtId="1" fontId="4" fillId="3" borderId="1" pivotButton="0" quotePrefix="0" xfId="0"/>
    <xf numFmtId="165" fontId="4" fillId="3" borderId="1" pivotButton="0" quotePrefix="0" xfId="0"/>
    <xf numFmtId="166" fontId="4" fillId="3" borderId="1" pivotButton="0" quotePrefix="0" xfId="0"/>
    <xf numFmtId="1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164" fontId="4" fillId="5" borderId="1" pivotButton="0" quotePrefix="0" xfId="0"/>
    <xf numFmtId="165" fontId="0" fillId="4" borderId="1" pivotButton="0" quotePrefix="0" xfId="0"/>
    <xf numFmtId="164" fontId="4" fillId="4" borderId="1" pivotButton="0" quotePrefix="0" xfId="0"/>
    <xf numFmtId="164" fontId="4" fillId="6" borderId="1" pivotButton="0" quotePrefix="0" xfId="0"/>
    <xf numFmtId="0" fontId="4" fillId="6" borderId="1" pivotButton="0" quotePrefix="0" xfId="0"/>
    <xf numFmtId="166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Agora Jobs - WEEKLYLY Pricing Calculator (Hybrid AI, premium-on-fail)</t>
        </is>
      </c>
    </row>
    <row r="2">
      <c r="A2" s="2" t="inlineStr">
        <is>
          <t>Edit the YELLOW cells (price is fully editable). Green/orange recompute automatically.</t>
        </is>
      </c>
    </row>
    <row r="4">
      <c r="A4" s="3" t="inlineStr">
        <is>
          <t>INPUTS  (edit these - price is NOT fixed)</t>
        </is>
      </c>
      <c r="B4" s="4" t="n"/>
      <c r="C4" s="4" t="n"/>
      <c r="D4" s="4" t="n"/>
    </row>
    <row r="5">
      <c r="A5" t="inlineStr">
        <is>
          <t>Weekly price (EUR)</t>
        </is>
      </c>
      <c r="B5" s="5" t="n">
        <v>4.99</v>
      </c>
      <c r="C5" s="2" t="inlineStr">
        <is>
          <t>Editable. Default 4.99; test band 3.99/4.99/5.99/6.99</t>
        </is>
      </c>
    </row>
    <row r="6">
      <c r="A6" t="inlineStr">
        <is>
          <t>Apps per weekly per user</t>
        </is>
      </c>
      <c r="B6" s="6" t="n">
        <v>15</v>
      </c>
      <c r="C6" s="2" t="inlineStr">
        <is>
          <t>Typical usage; change freely</t>
        </is>
      </c>
    </row>
    <row r="7">
      <c r="A7" t="inlineStr">
        <is>
          <t>Premium-regen rate (% of apps that fail &amp; escalate)</t>
        </is>
      </c>
      <c r="B7" s="7" t="n">
        <v>0.3</v>
      </c>
      <c r="C7" s="2" t="inlineStr">
        <is>
          <t>Share hitting frontier model on a failed eval</t>
        </is>
      </c>
    </row>
    <row r="8">
      <c r="A8" t="inlineStr">
        <is>
          <t>Fair-use cap (apps/week)</t>
        </is>
      </c>
      <c r="B8" s="6" t="n">
        <v>25</v>
      </c>
      <c r="C8" s="2" t="inlineStr">
        <is>
          <t>Protects margin from heavy users</t>
        </is>
      </c>
    </row>
    <row r="9">
      <c r="A9" t="inlineStr">
        <is>
          <t>Happy-path cost / app (EUR)</t>
        </is>
      </c>
      <c r="B9" s="5" t="n">
        <v>0.07000000000000001</v>
      </c>
      <c r="C9" s="2" t="inlineStr">
        <is>
          <t>Sonnet gen + Haiku 6-dim eval, cached</t>
        </is>
      </c>
    </row>
    <row r="10">
      <c r="A10" t="inlineStr">
        <is>
          <t>Premium regen cost / app (EUR)</t>
        </is>
      </c>
      <c r="B10" s="5" t="n">
        <v>0.3</v>
      </c>
      <c r="C10" s="2" t="inlineStr">
        <is>
          <t>Frontier/Opus-class regeneration on fail</t>
        </is>
      </c>
    </row>
    <row r="11">
      <c r="A11" t="inlineStr">
        <is>
          <t>Stripe % fee</t>
        </is>
      </c>
      <c r="B11" s="7" t="n">
        <v>0.029</v>
      </c>
      <c r="C11" s="2" t="inlineStr">
        <is>
          <t>2.9%</t>
        </is>
      </c>
    </row>
    <row r="12">
      <c r="A12" t="inlineStr">
        <is>
          <t>Stripe fixed fee / txn (EUR)</t>
        </is>
      </c>
      <c r="B12" s="5" t="n">
        <v>0.25</v>
      </c>
      <c r="C12" s="2" t="inlineStr">
        <is>
          <t>One charge per billing cycle per user</t>
        </is>
      </c>
    </row>
    <row r="13">
      <c r="A13" t="inlineStr">
        <is>
          <t>Paying weeklyly users (N)</t>
        </is>
      </c>
      <c r="B13" s="6" t="n">
        <v>200</v>
      </c>
      <c r="C13" s="2" t="inlineStr">
        <is>
          <t>Cohort size to spread fixed infra across</t>
        </is>
      </c>
    </row>
    <row r="14">
      <c r="A14" t="inlineStr">
        <is>
          <t>Monthly infra cost (EUR)</t>
        </is>
      </c>
      <c r="B14" s="8" t="n">
        <v>500</v>
      </c>
      <c r="C14" s="2" t="inlineStr">
        <is>
          <t>Stage1 ~180-425; Stage2 ~1,116-3,999</t>
        </is>
      </c>
    </row>
    <row r="16">
      <c r="A16" s="3" t="inlineStr">
        <is>
          <t>PER-USER ECONOMICS  (per weekly)</t>
        </is>
      </c>
      <c r="B16" s="4" t="n"/>
      <c r="C16" s="4" t="n"/>
      <c r="D16" s="4" t="n"/>
    </row>
    <row r="17">
      <c r="A17" t="inlineStr">
        <is>
          <t>Effective apps charged (capped)</t>
        </is>
      </c>
      <c r="B17" s="9">
        <f>MIN($B$6,$B$8)</f>
        <v/>
      </c>
      <c r="C17" s="2">
        <f>MIN(apps, cap)</f>
        <v/>
      </c>
    </row>
    <row r="18">
      <c r="A18" t="inlineStr">
        <is>
          <t>Blended variable cost / app</t>
        </is>
      </c>
      <c r="B18" s="10">
        <f>$B$9+$B$7*$B$10</f>
        <v/>
      </c>
      <c r="C18" s="2" t="inlineStr">
        <is>
          <t>happy + regen% x premium</t>
        </is>
      </c>
    </row>
    <row r="19">
      <c r="A19" t="inlineStr">
        <is>
          <t>Variable AI cost / weekly</t>
        </is>
      </c>
      <c r="B19" s="10">
        <f>B17*B18</f>
        <v/>
      </c>
    </row>
    <row r="20">
      <c r="A20" t="inlineStr">
        <is>
          <t>Stripe fee / weekly</t>
        </is>
      </c>
      <c r="B20" s="10">
        <f>$B$5*$B$11+$B$12</f>
        <v/>
      </c>
    </row>
    <row r="21">
      <c r="A21" t="inlineStr">
        <is>
          <t>Net revenue / weekly</t>
        </is>
      </c>
      <c r="B21" s="10">
        <f>$B$5-B20</f>
        <v/>
      </c>
    </row>
    <row r="22">
      <c r="A22" s="11" t="inlineStr">
        <is>
          <t>CONTRIBUTION / weekly</t>
        </is>
      </c>
      <c r="B22" s="12">
        <f>B21-B19</f>
        <v/>
      </c>
    </row>
    <row r="23">
      <c r="A23" t="inlineStr">
        <is>
          <t>Contribution margin (% of net)</t>
        </is>
      </c>
      <c r="B23" s="13">
        <f>B22/B21</f>
        <v/>
      </c>
    </row>
    <row r="24">
      <c r="A24" t="inlineStr">
        <is>
          <t>Contribution margin (% of gross price)</t>
        </is>
      </c>
      <c r="B24" s="13">
        <f>B22/$B$5</f>
        <v/>
      </c>
    </row>
    <row r="26">
      <c r="A26" s="3" t="inlineStr">
        <is>
          <t>MONTHLY P&amp;L  (all paying users, incl. INFRA)</t>
        </is>
      </c>
      <c r="B26" s="4" t="n"/>
      <c r="C26" s="4" t="n"/>
      <c r="D26" s="4" t="n"/>
    </row>
    <row r="27">
      <c r="A27" t="inlineStr">
        <is>
          <t>Gross revenue / month</t>
        </is>
      </c>
      <c r="B27" s="10">
        <f>$B$13*$B$5</f>
        <v/>
      </c>
    </row>
    <row r="28">
      <c r="A28" t="inlineStr">
        <is>
          <t xml:space="preserve">  - Stripe fees / month</t>
        </is>
      </c>
      <c r="B28" s="10">
        <f>-$B$13*B20</f>
        <v/>
      </c>
    </row>
    <row r="29">
      <c r="A29" t="inlineStr">
        <is>
          <t xml:space="preserve">  - Variable AI cost / month</t>
        </is>
      </c>
      <c r="B29" s="10">
        <f>-$B$13*B19</f>
        <v/>
      </c>
    </row>
    <row r="30">
      <c r="A30" s="11">
        <f> Total contribution / month</f>
        <v/>
      </c>
      <c r="B30" s="14">
        <f>B27+B28+B29</f>
        <v/>
      </c>
    </row>
    <row r="31">
      <c r="A31" t="inlineStr">
        <is>
          <t xml:space="preserve">  - Infrastructure / month</t>
        </is>
      </c>
      <c r="B31" s="10">
        <f>-$B$14</f>
        <v/>
      </c>
      <c r="C31" s="2" t="inlineStr">
        <is>
          <t>fixed cost</t>
        </is>
      </c>
    </row>
    <row r="32">
      <c r="A32" s="11">
        <f> NET PROFIT after infra / month</f>
        <v/>
      </c>
      <c r="B32" s="12">
        <f>B30+B31</f>
        <v/>
      </c>
    </row>
    <row r="33">
      <c r="A33" t="inlineStr">
        <is>
          <t>Net profit margin (% of gross)</t>
        </is>
      </c>
      <c r="B33" s="13">
        <f>B32/B27</f>
        <v/>
      </c>
    </row>
    <row r="34">
      <c r="A34" t="inlineStr">
        <is>
          <t>Infra cost allocated / user / month</t>
        </is>
      </c>
      <c r="B34" s="10">
        <f>$B$14/$B$13</f>
        <v/>
      </c>
    </row>
    <row r="35">
      <c r="A35" s="11" t="inlineStr">
        <is>
          <t>NET PROFIT after infra / YEAR</t>
        </is>
      </c>
      <c r="B35" s="12">
        <f>B32*12</f>
        <v/>
      </c>
    </row>
    <row r="36">
      <c r="A36" t="inlineStr">
        <is>
          <t>Break-even users (to cover infra)</t>
        </is>
      </c>
      <c r="B36" s="9">
        <f>ROUNDUP($B$14/(B22),0)</f>
        <v/>
      </c>
      <c r="C36" s="2" t="inlineStr">
        <is>
          <t>contribution just covers fixed infra</t>
        </is>
      </c>
    </row>
    <row r="39">
      <c r="A39" s="3" t="inlineStr">
        <is>
          <t>SENSITIVITY: Net profit / month  (rows = users, cols = weekly price)</t>
        </is>
      </c>
      <c r="B39" s="4" t="n"/>
      <c r="C39" s="4" t="n"/>
      <c r="D39" s="4" t="n"/>
    </row>
    <row r="40">
      <c r="A40" s="11" t="inlineStr">
        <is>
          <t>users \ price</t>
        </is>
      </c>
      <c r="B40" s="15" t="n">
        <v>3.99</v>
      </c>
      <c r="C40" s="15" t="n">
        <v>4.99</v>
      </c>
      <c r="D40" s="15" t="n">
        <v>5.99</v>
      </c>
      <c r="E40" s="15" t="n">
        <v>6.99</v>
      </c>
    </row>
    <row r="41">
      <c r="A41" s="16" t="n">
        <v>50</v>
      </c>
      <c r="B41" s="17">
        <f>$A41*((B$40-(B$40*$B$11+$B$12))-(MIN($B$6,$B$8)*($B$9+$B$7*$B$10)))-$B$14</f>
        <v/>
      </c>
      <c r="C41" s="17">
        <f>$A41*((C$40-(C$40*$B$11+$B$12))-(MIN($B$6,$B$8)*($B$9+$B$7*$B$10)))-$B$14</f>
        <v/>
      </c>
      <c r="D41" s="17">
        <f>$A41*((D$40-(D$40*$B$11+$B$12))-(MIN($B$6,$B$8)*($B$9+$B$7*$B$10)))-$B$14</f>
        <v/>
      </c>
      <c r="E41" s="17">
        <f>$A41*((E$40-(E$40*$B$11+$B$12))-(MIN($B$6,$B$8)*($B$9+$B$7*$B$10)))-$B$14</f>
        <v/>
      </c>
    </row>
    <row r="42">
      <c r="A42" s="16" t="n">
        <v>100</v>
      </c>
      <c r="B42" s="17">
        <f>$A42*((B$40-(B$40*$B$11+$B$12))-(MIN($B$6,$B$8)*($B$9+$B$7*$B$10)))-$B$14</f>
        <v/>
      </c>
      <c r="C42" s="17">
        <f>$A42*((C$40-(C$40*$B$11+$B$12))-(MIN($B$6,$B$8)*($B$9+$B$7*$B$10)))-$B$14</f>
        <v/>
      </c>
      <c r="D42" s="17">
        <f>$A42*((D$40-(D$40*$B$11+$B$12))-(MIN($B$6,$B$8)*($B$9+$B$7*$B$10)))-$B$14</f>
        <v/>
      </c>
      <c r="E42" s="17">
        <f>$A42*((E$40-(E$40*$B$11+$B$12))-(MIN($B$6,$B$8)*($B$9+$B$7*$B$10)))-$B$14</f>
        <v/>
      </c>
    </row>
    <row r="43">
      <c r="A43" s="16" t="n">
        <v>200</v>
      </c>
      <c r="B43" s="17">
        <f>$A43*((B$40-(B$40*$B$11+$B$12))-(MIN($B$6,$B$8)*($B$9+$B$7*$B$10)))-$B$14</f>
        <v/>
      </c>
      <c r="C43" s="17">
        <f>$A43*((C$40-(C$40*$B$11+$B$12))-(MIN($B$6,$B$8)*($B$9+$B$7*$B$10)))-$B$14</f>
        <v/>
      </c>
      <c r="D43" s="17">
        <f>$A43*((D$40-(D$40*$B$11+$B$12))-(MIN($B$6,$B$8)*($B$9+$B$7*$B$10)))-$B$14</f>
        <v/>
      </c>
      <c r="E43" s="17">
        <f>$A43*((E$40-(E$40*$B$11+$B$12))-(MIN($B$6,$B$8)*($B$9+$B$7*$B$10)))-$B$14</f>
        <v/>
      </c>
    </row>
    <row r="44">
      <c r="A44" s="16" t="n">
        <v>400</v>
      </c>
      <c r="B44" s="17">
        <f>$A44*((B$40-(B$40*$B$11+$B$12))-(MIN($B$6,$B$8)*($B$9+$B$7*$B$10)))-$B$14</f>
        <v/>
      </c>
      <c r="C44" s="17">
        <f>$A44*((C$40-(C$40*$B$11+$B$12))-(MIN($B$6,$B$8)*($B$9+$B$7*$B$10)))-$B$14</f>
        <v/>
      </c>
      <c r="D44" s="17">
        <f>$A44*((D$40-(D$40*$B$11+$B$12))-(MIN($B$6,$B$8)*($B$9+$B$7*$B$10)))-$B$14</f>
        <v/>
      </c>
      <c r="E44" s="17">
        <f>$A44*((E$40-(E$40*$B$11+$B$12))-(MIN($B$6,$B$8)*($B$9+$B$7*$B$10)))-$B$14</f>
        <v/>
      </c>
    </row>
    <row r="45">
      <c r="A45" s="16" t="n">
        <v>800</v>
      </c>
      <c r="B45" s="17">
        <f>$A45*((B$40-(B$40*$B$11+$B$12))-(MIN($B$6,$B$8)*($B$9+$B$7*$B$10)))-$B$14</f>
        <v/>
      </c>
      <c r="C45" s="17">
        <f>$A45*((C$40-(C$40*$B$11+$B$12))-(MIN($B$6,$B$8)*($B$9+$B$7*$B$10)))-$B$14</f>
        <v/>
      </c>
      <c r="D45" s="17">
        <f>$A45*((D$40-(D$40*$B$11+$B$12))-(MIN($B$6,$B$8)*($B$9+$B$7*$B$10)))-$B$14</f>
        <v/>
      </c>
      <c r="E45" s="17">
        <f>$A45*((E$40-(E$40*$B$11+$B$12))-(MIN($B$6,$B$8)*($B$9+$B$7*$B$10)))-$B$14</f>
        <v/>
      </c>
    </row>
    <row r="46">
      <c r="A46" s="16" t="n">
        <v>1500</v>
      </c>
      <c r="B46" s="17">
        <f>$A46*((B$40-(B$40*$B$11+$B$12))-(MIN($B$6,$B$8)*($B$9+$B$7*$B$10)))-$B$14</f>
        <v/>
      </c>
      <c r="C46" s="17">
        <f>$A46*((C$40-(C$40*$B$11+$B$12))-(MIN($B$6,$B$8)*($B$9+$B$7*$B$10)))-$B$14</f>
        <v/>
      </c>
      <c r="D46" s="17">
        <f>$A46*((D$40-(D$40*$B$11+$B$12))-(MIN($B$6,$B$8)*($B$9+$B$7*$B$10)))-$B$14</f>
        <v/>
      </c>
      <c r="E46" s="17">
        <f>$A46*((E$40-(E$40*$B$11+$B$12))-(MIN($B$6,$B$8)*($B$9+$B$7*$B$10)))-$B$14</f>
        <v/>
      </c>
    </row>
    <row r="49">
      <c r="A49" s="3" t="inlineStr">
        <is>
          <t>SENSITIVITY: Contribution / user / weekly  (rows = apps/weekly, cols = price)</t>
        </is>
      </c>
      <c r="B49" s="4" t="n"/>
      <c r="C49" s="4" t="n"/>
      <c r="D49" s="4" t="n"/>
    </row>
    <row r="50">
      <c r="A50" s="11" t="inlineStr">
        <is>
          <t>apps \ price</t>
        </is>
      </c>
      <c r="B50" s="15" t="n">
        <v>3.99</v>
      </c>
      <c r="C50" s="15" t="n">
        <v>4.99</v>
      </c>
      <c r="D50" s="15" t="n">
        <v>5.99</v>
      </c>
      <c r="E50" s="15" t="n">
        <v>6.99</v>
      </c>
    </row>
    <row r="51">
      <c r="A51" s="16" t="n">
        <v>5</v>
      </c>
      <c r="B51" s="18">
        <f>(B$50-(B$50*$B$11+$B$12))-(MIN($A51,$B$8)*($B$9+$B$7*$B$10))</f>
        <v/>
      </c>
      <c r="C51" s="18">
        <f>(C$50-(C$50*$B$11+$B$12))-(MIN($A51,$B$8)*($B$9+$B$7*$B$10))</f>
        <v/>
      </c>
      <c r="D51" s="18">
        <f>(D$50-(D$50*$B$11+$B$12))-(MIN($A51,$B$8)*($B$9+$B$7*$B$10))</f>
        <v/>
      </c>
      <c r="E51" s="18">
        <f>(E$50-(E$50*$B$11+$B$12))-(MIN($A51,$B$8)*($B$9+$B$7*$B$10))</f>
        <v/>
      </c>
    </row>
    <row r="52">
      <c r="A52" s="16" t="n">
        <v>10</v>
      </c>
      <c r="B52" s="18">
        <f>(B$50-(B$50*$B$11+$B$12))-(MIN($A52,$B$8)*($B$9+$B$7*$B$10))</f>
        <v/>
      </c>
      <c r="C52" s="18">
        <f>(C$50-(C$50*$B$11+$B$12))-(MIN($A52,$B$8)*($B$9+$B$7*$B$10))</f>
        <v/>
      </c>
      <c r="D52" s="18">
        <f>(D$50-(D$50*$B$11+$B$12))-(MIN($A52,$B$8)*($B$9+$B$7*$B$10))</f>
        <v/>
      </c>
      <c r="E52" s="18">
        <f>(E$50-(E$50*$B$11+$B$12))-(MIN($A52,$B$8)*($B$9+$B$7*$B$10))</f>
        <v/>
      </c>
    </row>
    <row r="53">
      <c r="A53" s="16" t="n">
        <v>15</v>
      </c>
      <c r="B53" s="18">
        <f>(B$50-(B$50*$B$11+$B$12))-(MIN($A53,$B$8)*($B$9+$B$7*$B$10))</f>
        <v/>
      </c>
      <c r="C53" s="18">
        <f>(C$50-(C$50*$B$11+$B$12))-(MIN($A53,$B$8)*($B$9+$B$7*$B$10))</f>
        <v/>
      </c>
      <c r="D53" s="18">
        <f>(D$50-(D$50*$B$11+$B$12))-(MIN($A53,$B$8)*($B$9+$B$7*$B$10))</f>
        <v/>
      </c>
      <c r="E53" s="18">
        <f>(E$50-(E$50*$B$11+$B$12))-(MIN($A53,$B$8)*($B$9+$B$7*$B$10))</f>
        <v/>
      </c>
    </row>
    <row r="54">
      <c r="A54" s="16" t="n">
        <v>20</v>
      </c>
      <c r="B54" s="18">
        <f>(B$50-(B$50*$B$11+$B$12))-(MIN($A54,$B$8)*($B$9+$B$7*$B$10))</f>
        <v/>
      </c>
      <c r="C54" s="18">
        <f>(C$50-(C$50*$B$11+$B$12))-(MIN($A54,$B$8)*($B$9+$B$7*$B$10))</f>
        <v/>
      </c>
      <c r="D54" s="18">
        <f>(D$50-(D$50*$B$11+$B$12))-(MIN($A54,$B$8)*($B$9+$B$7*$B$10))</f>
        <v/>
      </c>
      <c r="E54" s="18">
        <f>(E$50-(E$50*$B$11+$B$12))-(MIN($A54,$B$8)*($B$9+$B$7*$B$10))</f>
        <v/>
      </c>
    </row>
    <row r="55">
      <c r="A55" s="16" t="n">
        <v>25</v>
      </c>
      <c r="B55" s="18">
        <f>(B$50-(B$50*$B$11+$B$12))-(MIN($A55,$B$8)*($B$9+$B$7*$B$10))</f>
        <v/>
      </c>
      <c r="C55" s="18">
        <f>(C$50-(C$50*$B$11+$B$12))-(MIN($A55,$B$8)*($B$9+$B$7*$B$10))</f>
        <v/>
      </c>
      <c r="D55" s="18">
        <f>(D$50-(D$50*$B$11+$B$12))-(MIN($A55,$B$8)*($B$9+$B$7*$B$10))</f>
        <v/>
      </c>
      <c r="E55" s="18">
        <f>(E$50-(E$50*$B$11+$B$12))-(MIN($A55,$B$8)*($B$9+$B$7*$B$10))</f>
        <v/>
      </c>
    </row>
    <row r="56">
      <c r="A56" s="16" t="n">
        <v>30</v>
      </c>
      <c r="B56" s="18">
        <f>(B$50-(B$50*$B$11+$B$12))-(MIN($A56,$B$8)*($B$9+$B$7*$B$10))</f>
        <v/>
      </c>
      <c r="C56" s="18">
        <f>(C$50-(C$50*$B$11+$B$12))-(MIN($A56,$B$8)*($B$9+$B$7*$B$10))</f>
        <v/>
      </c>
      <c r="D56" s="18">
        <f>(D$50-(D$50*$B$11+$B$12))-(MIN($A56,$B$8)*($B$9+$B$7*$B$10))</f>
        <v/>
      </c>
      <c r="E56" s="18">
        <f>(E$50-(E$50*$B$11+$B$12))-(MIN($A56,$B$8)*($B$9+$B$7*$B$10))</f>
        <v/>
      </c>
    </row>
    <row r="59">
      <c r="A59" s="3" t="inlineStr">
        <is>
          <t>COMPETITOR WEEKLY REFERENCE (USD list -&gt; EUR @0.93)</t>
        </is>
      </c>
      <c r="B59" s="4" t="n"/>
      <c r="C59" s="4" t="n"/>
      <c r="D59" s="4" t="n"/>
    </row>
    <row r="60">
      <c r="A60" s="11" t="inlineStr">
        <is>
          <t>Competitor</t>
        </is>
      </c>
      <c r="B60" s="11" t="inlineStr">
        <is>
          <t>Weekly USD</t>
        </is>
      </c>
      <c r="C60" s="11" t="inlineStr">
        <is>
          <t>~EUR</t>
        </is>
      </c>
      <c r="D60" s="11" t="inlineStr">
        <is>
          <t>Your 4.99 vs</t>
        </is>
      </c>
    </row>
    <row r="61">
      <c r="A61" t="inlineStr">
        <is>
          <t>Sorce</t>
        </is>
      </c>
      <c r="B61" t="inlineStr">
        <is>
          <t>$15/wk</t>
        </is>
      </c>
      <c r="C61" s="19" t="n">
        <v>13.95</v>
      </c>
      <c r="D61" t="inlineStr">
        <is>
          <t>-64%</t>
        </is>
      </c>
    </row>
    <row r="62">
      <c r="A62" t="inlineStr">
        <is>
          <t>Teal</t>
        </is>
      </c>
      <c r="B62" t="inlineStr">
        <is>
          <t>$9/wk</t>
        </is>
      </c>
      <c r="C62" s="19" t="n">
        <v>8.369999999999999</v>
      </c>
      <c r="D62" t="inlineStr">
        <is>
          <t>-40%</t>
        </is>
      </c>
    </row>
    <row r="63">
      <c r="A63" t="inlineStr">
        <is>
          <t>AIApply (~$29/mo)</t>
        </is>
      </c>
      <c r="B63" t="inlineStr">
        <is>
          <t>~$6.20/wk eq.</t>
        </is>
      </c>
      <c r="C63" s="19" t="n">
        <v>5.77</v>
      </c>
      <c r="D63" t="inlineStr">
        <is>
          <t>below</t>
        </is>
      </c>
    </row>
    <row r="64">
      <c r="A64" t="inlineStr">
        <is>
          <t>JobCopilot ($39/mo)</t>
        </is>
      </c>
      <c r="B64" t="inlineStr">
        <is>
          <t>~$8.40/wk eq.</t>
        </is>
      </c>
      <c r="C64" s="19" t="n">
        <v>7.81</v>
      </c>
      <c r="D64" t="inlineStr">
        <is>
          <t>below</t>
        </is>
      </c>
    </row>
    <row r="67">
      <c r="A67" s="11" t="inlineStr">
        <is>
          <t>NOTES</t>
        </is>
      </c>
    </row>
    <row r="68">
      <c r="A68" s="2" t="inlineStr">
        <is>
          <t>* PRICE IS EDITABLE - change the weekly price cell to any value; the whole sheet + both grids recompute.</t>
        </is>
      </c>
    </row>
    <row r="69">
      <c r="A69" s="2" t="inlineStr">
        <is>
          <t>* 'Premium-on-fail': Sonnet generates; frontier (Opus-class) model only re-runs apps that fail the ATS eval threshold.</t>
        </is>
      </c>
    </row>
    <row r="70">
      <c r="A70" s="2" t="inlineStr">
        <is>
          <t>* Fair-use cap is the key margin protector - without it heavy users turn the tier loss-making.</t>
        </is>
      </c>
    </row>
    <row r="71">
      <c r="A71" s="2" t="inlineStr">
        <is>
          <t>* Infra is charged in FULL to this cohort (conservative). Set it to a shared slice for a blended view.</t>
        </is>
      </c>
    </row>
    <row r="72">
      <c r="A72" s="2" t="inlineStr">
        <is>
          <t>* Planning estimates from Business Planning/Business Documents/06-Financial-Model.md. Not a forecast.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Agora Jobs - MONTHLYLY Pricing Calculator (Hybrid AI, premium-on-fail)</t>
        </is>
      </c>
    </row>
    <row r="2">
      <c r="A2" s="2" t="inlineStr">
        <is>
          <t>Edit the YELLOW cells (price is fully editable). Green/orange recompute automatically.</t>
        </is>
      </c>
    </row>
    <row r="4">
      <c r="A4" s="3" t="inlineStr">
        <is>
          <t>INPUTS  (edit these - price is NOT fixed)</t>
        </is>
      </c>
      <c r="B4" s="4" t="n"/>
      <c r="C4" s="4" t="n"/>
      <c r="D4" s="4" t="n"/>
    </row>
    <row r="5">
      <c r="A5" t="inlineStr">
        <is>
          <t>Monthly price (EUR)</t>
        </is>
      </c>
      <c r="B5" s="5" t="n">
        <v>5.99</v>
      </c>
      <c r="C5" s="2" t="inlineStr">
        <is>
          <t>Editable. Default 5.99; test band 4.99/5.99/6.99/9.99</t>
        </is>
      </c>
    </row>
    <row r="6">
      <c r="A6" t="inlineStr">
        <is>
          <t>Apps per monthly per user</t>
        </is>
      </c>
      <c r="B6" s="6" t="n">
        <v>15</v>
      </c>
      <c r="C6" s="2" t="inlineStr">
        <is>
          <t>Typical usage; change freely</t>
        </is>
      </c>
    </row>
    <row r="7">
      <c r="A7" t="inlineStr">
        <is>
          <t>Premium-regen rate (% of apps that fail &amp; escalate)</t>
        </is>
      </c>
      <c r="B7" s="7" t="n">
        <v>0.3</v>
      </c>
      <c r="C7" s="2" t="inlineStr">
        <is>
          <t>Share hitting frontier model on a failed eval</t>
        </is>
      </c>
    </row>
    <row r="8">
      <c r="A8" t="inlineStr">
        <is>
          <t>Fair-use cap (apps/month)</t>
        </is>
      </c>
      <c r="B8" s="6" t="n">
        <v>60</v>
      </c>
      <c r="C8" s="2" t="inlineStr">
        <is>
          <t>Protects margin from heavy users</t>
        </is>
      </c>
    </row>
    <row r="9">
      <c r="A9" t="inlineStr">
        <is>
          <t>Happy-path cost / app (EUR)</t>
        </is>
      </c>
      <c r="B9" s="5" t="n">
        <v>0.07000000000000001</v>
      </c>
      <c r="C9" s="2" t="inlineStr">
        <is>
          <t>Sonnet gen + Haiku 6-dim eval, cached</t>
        </is>
      </c>
    </row>
    <row r="10">
      <c r="A10" t="inlineStr">
        <is>
          <t>Premium regen cost / app (EUR)</t>
        </is>
      </c>
      <c r="B10" s="5" t="n">
        <v>0.3</v>
      </c>
      <c r="C10" s="2" t="inlineStr">
        <is>
          <t>Frontier/Opus-class regeneration on fail</t>
        </is>
      </c>
    </row>
    <row r="11">
      <c r="A11" t="inlineStr">
        <is>
          <t>Stripe % fee</t>
        </is>
      </c>
      <c r="B11" s="7" t="n">
        <v>0.029</v>
      </c>
      <c r="C11" s="2" t="inlineStr">
        <is>
          <t>2.9%</t>
        </is>
      </c>
    </row>
    <row r="12">
      <c r="A12" t="inlineStr">
        <is>
          <t>Stripe fixed fee / txn (EUR)</t>
        </is>
      </c>
      <c r="B12" s="5" t="n">
        <v>0.25</v>
      </c>
      <c r="C12" s="2" t="inlineStr">
        <is>
          <t>One charge per billing cycle per user</t>
        </is>
      </c>
    </row>
    <row r="13">
      <c r="A13" t="inlineStr">
        <is>
          <t>Paying monthlyly users (N)</t>
        </is>
      </c>
      <c r="B13" s="6" t="n">
        <v>200</v>
      </c>
      <c r="C13" s="2" t="inlineStr">
        <is>
          <t>Cohort size to spread fixed infra across</t>
        </is>
      </c>
    </row>
    <row r="14">
      <c r="A14" t="inlineStr">
        <is>
          <t>Monthly infra cost (EUR)</t>
        </is>
      </c>
      <c r="B14" s="8" t="n">
        <v>500</v>
      </c>
      <c r="C14" s="2" t="inlineStr">
        <is>
          <t>Stage1 ~180-425; Stage2 ~1,116-3,999</t>
        </is>
      </c>
    </row>
    <row r="16">
      <c r="A16" s="3" t="inlineStr">
        <is>
          <t>PER-USER ECONOMICS  (per monthly)</t>
        </is>
      </c>
      <c r="B16" s="4" t="n"/>
      <c r="C16" s="4" t="n"/>
      <c r="D16" s="4" t="n"/>
    </row>
    <row r="17">
      <c r="A17" t="inlineStr">
        <is>
          <t>Effective apps charged (capped)</t>
        </is>
      </c>
      <c r="B17" s="9">
        <f>MIN($B$6,$B$8)</f>
        <v/>
      </c>
      <c r="C17" s="2">
        <f>MIN(apps, cap)</f>
        <v/>
      </c>
    </row>
    <row r="18">
      <c r="A18" t="inlineStr">
        <is>
          <t>Blended variable cost / app</t>
        </is>
      </c>
      <c r="B18" s="10">
        <f>$B$9+$B$7*$B$10</f>
        <v/>
      </c>
      <c r="C18" s="2" t="inlineStr">
        <is>
          <t>happy + regen% x premium</t>
        </is>
      </c>
    </row>
    <row r="19">
      <c r="A19" t="inlineStr">
        <is>
          <t>Variable AI cost / monthly</t>
        </is>
      </c>
      <c r="B19" s="10">
        <f>B17*B18</f>
        <v/>
      </c>
    </row>
    <row r="20">
      <c r="A20" t="inlineStr">
        <is>
          <t>Stripe fee / monthly</t>
        </is>
      </c>
      <c r="B20" s="10">
        <f>$B$5*$B$11+$B$12</f>
        <v/>
      </c>
    </row>
    <row r="21">
      <c r="A21" t="inlineStr">
        <is>
          <t>Net revenue / monthly</t>
        </is>
      </c>
      <c r="B21" s="10">
        <f>$B$5-B20</f>
        <v/>
      </c>
    </row>
    <row r="22">
      <c r="A22" s="11" t="inlineStr">
        <is>
          <t>CONTRIBUTION / monthly</t>
        </is>
      </c>
      <c r="B22" s="12">
        <f>B21-B19</f>
        <v/>
      </c>
    </row>
    <row r="23">
      <c r="A23" t="inlineStr">
        <is>
          <t>Contribution margin (% of net)</t>
        </is>
      </c>
      <c r="B23" s="13">
        <f>B22/B21</f>
        <v/>
      </c>
    </row>
    <row r="24">
      <c r="A24" t="inlineStr">
        <is>
          <t>Contribution margin (% of gross price)</t>
        </is>
      </c>
      <c r="B24" s="13">
        <f>B22/$B$5</f>
        <v/>
      </c>
    </row>
    <row r="26">
      <c r="A26" s="3" t="inlineStr">
        <is>
          <t>MONTHLY P&amp;L  (all paying users, incl. INFRA)</t>
        </is>
      </c>
      <c r="B26" s="4" t="n"/>
      <c r="C26" s="4" t="n"/>
      <c r="D26" s="4" t="n"/>
    </row>
    <row r="27">
      <c r="A27" t="inlineStr">
        <is>
          <t>Gross revenue / month</t>
        </is>
      </c>
      <c r="B27" s="10">
        <f>$B$13*$B$5</f>
        <v/>
      </c>
    </row>
    <row r="28">
      <c r="A28" t="inlineStr">
        <is>
          <t xml:space="preserve">  - Stripe fees / month</t>
        </is>
      </c>
      <c r="B28" s="10">
        <f>-$B$13*B20</f>
        <v/>
      </c>
    </row>
    <row r="29">
      <c r="A29" t="inlineStr">
        <is>
          <t xml:space="preserve">  - Variable AI cost / month</t>
        </is>
      </c>
      <c r="B29" s="10">
        <f>-$B$13*B19</f>
        <v/>
      </c>
    </row>
    <row r="30">
      <c r="A30" s="11">
        <f> Total contribution / month</f>
        <v/>
      </c>
      <c r="B30" s="14">
        <f>B27+B28+B29</f>
        <v/>
      </c>
    </row>
    <row r="31">
      <c r="A31" t="inlineStr">
        <is>
          <t xml:space="preserve">  - Infrastructure / month</t>
        </is>
      </c>
      <c r="B31" s="10">
        <f>-$B$14</f>
        <v/>
      </c>
      <c r="C31" s="2" t="inlineStr">
        <is>
          <t>fixed cost</t>
        </is>
      </c>
    </row>
    <row r="32">
      <c r="A32" s="11">
        <f> NET PROFIT after infra / month</f>
        <v/>
      </c>
      <c r="B32" s="12">
        <f>B30+B31</f>
        <v/>
      </c>
    </row>
    <row r="33">
      <c r="A33" t="inlineStr">
        <is>
          <t>Net profit margin (% of gross)</t>
        </is>
      </c>
      <c r="B33" s="13">
        <f>B32/B27</f>
        <v/>
      </c>
    </row>
    <row r="34">
      <c r="A34" t="inlineStr">
        <is>
          <t>Infra cost allocated / user / month</t>
        </is>
      </c>
      <c r="B34" s="10">
        <f>$B$14/$B$13</f>
        <v/>
      </c>
    </row>
    <row r="35">
      <c r="A35" s="11" t="inlineStr">
        <is>
          <t>NET PROFIT after infra / YEAR</t>
        </is>
      </c>
      <c r="B35" s="12">
        <f>B32*12</f>
        <v/>
      </c>
    </row>
    <row r="36">
      <c r="A36" t="inlineStr">
        <is>
          <t>Break-even users (to cover infra)</t>
        </is>
      </c>
      <c r="B36" s="9">
        <f>ROUNDUP($B$14/(B22),0)</f>
        <v/>
      </c>
      <c r="C36" s="2" t="inlineStr">
        <is>
          <t>contribution just covers fixed infra</t>
        </is>
      </c>
    </row>
    <row r="39">
      <c r="A39" s="3" t="inlineStr">
        <is>
          <t>SENSITIVITY: Net profit / month  (rows = users, cols = monthly price)</t>
        </is>
      </c>
      <c r="B39" s="4" t="n"/>
      <c r="C39" s="4" t="n"/>
      <c r="D39" s="4" t="n"/>
    </row>
    <row r="40">
      <c r="A40" s="11" t="inlineStr">
        <is>
          <t>users \ price</t>
        </is>
      </c>
      <c r="B40" s="15" t="n">
        <v>4.99</v>
      </c>
      <c r="C40" s="15" t="n">
        <v>5.99</v>
      </c>
      <c r="D40" s="15" t="n">
        <v>6.99</v>
      </c>
      <c r="E40" s="15" t="n">
        <v>9.99</v>
      </c>
    </row>
    <row r="41">
      <c r="A41" s="16" t="n">
        <v>50</v>
      </c>
      <c r="B41" s="17">
        <f>$A41*((B$40-(B$40*$B$11+$B$12))-(MIN($B$6,$B$8)*($B$9+$B$7*$B$10)))-$B$14</f>
        <v/>
      </c>
      <c r="C41" s="17">
        <f>$A41*((C$40-(C$40*$B$11+$B$12))-(MIN($B$6,$B$8)*($B$9+$B$7*$B$10)))-$B$14</f>
        <v/>
      </c>
      <c r="D41" s="17">
        <f>$A41*((D$40-(D$40*$B$11+$B$12))-(MIN($B$6,$B$8)*($B$9+$B$7*$B$10)))-$B$14</f>
        <v/>
      </c>
      <c r="E41" s="17">
        <f>$A41*((E$40-(E$40*$B$11+$B$12))-(MIN($B$6,$B$8)*($B$9+$B$7*$B$10)))-$B$14</f>
        <v/>
      </c>
    </row>
    <row r="42">
      <c r="A42" s="16" t="n">
        <v>100</v>
      </c>
      <c r="B42" s="17">
        <f>$A42*((B$40-(B$40*$B$11+$B$12))-(MIN($B$6,$B$8)*($B$9+$B$7*$B$10)))-$B$14</f>
        <v/>
      </c>
      <c r="C42" s="17">
        <f>$A42*((C$40-(C$40*$B$11+$B$12))-(MIN($B$6,$B$8)*($B$9+$B$7*$B$10)))-$B$14</f>
        <v/>
      </c>
      <c r="D42" s="17">
        <f>$A42*((D$40-(D$40*$B$11+$B$12))-(MIN($B$6,$B$8)*($B$9+$B$7*$B$10)))-$B$14</f>
        <v/>
      </c>
      <c r="E42" s="17">
        <f>$A42*((E$40-(E$40*$B$11+$B$12))-(MIN($B$6,$B$8)*($B$9+$B$7*$B$10)))-$B$14</f>
        <v/>
      </c>
    </row>
    <row r="43">
      <c r="A43" s="16" t="n">
        <v>200</v>
      </c>
      <c r="B43" s="17">
        <f>$A43*((B$40-(B$40*$B$11+$B$12))-(MIN($B$6,$B$8)*($B$9+$B$7*$B$10)))-$B$14</f>
        <v/>
      </c>
      <c r="C43" s="17">
        <f>$A43*((C$40-(C$40*$B$11+$B$12))-(MIN($B$6,$B$8)*($B$9+$B$7*$B$10)))-$B$14</f>
        <v/>
      </c>
      <c r="D43" s="17">
        <f>$A43*((D$40-(D$40*$B$11+$B$12))-(MIN($B$6,$B$8)*($B$9+$B$7*$B$10)))-$B$14</f>
        <v/>
      </c>
      <c r="E43" s="17">
        <f>$A43*((E$40-(E$40*$B$11+$B$12))-(MIN($B$6,$B$8)*($B$9+$B$7*$B$10)))-$B$14</f>
        <v/>
      </c>
    </row>
    <row r="44">
      <c r="A44" s="16" t="n">
        <v>400</v>
      </c>
      <c r="B44" s="17">
        <f>$A44*((B$40-(B$40*$B$11+$B$12))-(MIN($B$6,$B$8)*($B$9+$B$7*$B$10)))-$B$14</f>
        <v/>
      </c>
      <c r="C44" s="17">
        <f>$A44*((C$40-(C$40*$B$11+$B$12))-(MIN($B$6,$B$8)*($B$9+$B$7*$B$10)))-$B$14</f>
        <v/>
      </c>
      <c r="D44" s="17">
        <f>$A44*((D$40-(D$40*$B$11+$B$12))-(MIN($B$6,$B$8)*($B$9+$B$7*$B$10)))-$B$14</f>
        <v/>
      </c>
      <c r="E44" s="17">
        <f>$A44*((E$40-(E$40*$B$11+$B$12))-(MIN($B$6,$B$8)*($B$9+$B$7*$B$10)))-$B$14</f>
        <v/>
      </c>
    </row>
    <row r="45">
      <c r="A45" s="16" t="n">
        <v>800</v>
      </c>
      <c r="B45" s="17">
        <f>$A45*((B$40-(B$40*$B$11+$B$12))-(MIN($B$6,$B$8)*($B$9+$B$7*$B$10)))-$B$14</f>
        <v/>
      </c>
      <c r="C45" s="17">
        <f>$A45*((C$40-(C$40*$B$11+$B$12))-(MIN($B$6,$B$8)*($B$9+$B$7*$B$10)))-$B$14</f>
        <v/>
      </c>
      <c r="D45" s="17">
        <f>$A45*((D$40-(D$40*$B$11+$B$12))-(MIN($B$6,$B$8)*($B$9+$B$7*$B$10)))-$B$14</f>
        <v/>
      </c>
      <c r="E45" s="17">
        <f>$A45*((E$40-(E$40*$B$11+$B$12))-(MIN($B$6,$B$8)*($B$9+$B$7*$B$10)))-$B$14</f>
        <v/>
      </c>
    </row>
    <row r="46">
      <c r="A46" s="16" t="n">
        <v>1500</v>
      </c>
      <c r="B46" s="17">
        <f>$A46*((B$40-(B$40*$B$11+$B$12))-(MIN($B$6,$B$8)*($B$9+$B$7*$B$10)))-$B$14</f>
        <v/>
      </c>
      <c r="C46" s="17">
        <f>$A46*((C$40-(C$40*$B$11+$B$12))-(MIN($B$6,$B$8)*($B$9+$B$7*$B$10)))-$B$14</f>
        <v/>
      </c>
      <c r="D46" s="17">
        <f>$A46*((D$40-(D$40*$B$11+$B$12))-(MIN($B$6,$B$8)*($B$9+$B$7*$B$10)))-$B$14</f>
        <v/>
      </c>
      <c r="E46" s="17">
        <f>$A46*((E$40-(E$40*$B$11+$B$12))-(MIN($B$6,$B$8)*($B$9+$B$7*$B$10)))-$B$14</f>
        <v/>
      </c>
    </row>
    <row r="49">
      <c r="A49" s="3" t="inlineStr">
        <is>
          <t>SENSITIVITY: Contribution / user / monthly  (rows = apps/monthly, cols = price)</t>
        </is>
      </c>
      <c r="B49" s="4" t="n"/>
      <c r="C49" s="4" t="n"/>
      <c r="D49" s="4" t="n"/>
    </row>
    <row r="50">
      <c r="A50" s="11" t="inlineStr">
        <is>
          <t>apps \ price</t>
        </is>
      </c>
      <c r="B50" s="15" t="n">
        <v>4.99</v>
      </c>
      <c r="C50" s="15" t="n">
        <v>5.99</v>
      </c>
      <c r="D50" s="15" t="n">
        <v>6.99</v>
      </c>
      <c r="E50" s="15" t="n">
        <v>9.99</v>
      </c>
    </row>
    <row r="51">
      <c r="A51" s="16" t="n">
        <v>10</v>
      </c>
      <c r="B51" s="18">
        <f>(B$50-(B$50*$B$11+$B$12))-(MIN($A51,$B$8)*($B$9+$B$7*$B$10))</f>
        <v/>
      </c>
      <c r="C51" s="18">
        <f>(C$50-(C$50*$B$11+$B$12))-(MIN($A51,$B$8)*($B$9+$B$7*$B$10))</f>
        <v/>
      </c>
      <c r="D51" s="18">
        <f>(D$50-(D$50*$B$11+$B$12))-(MIN($A51,$B$8)*($B$9+$B$7*$B$10))</f>
        <v/>
      </c>
      <c r="E51" s="18">
        <f>(E$50-(E$50*$B$11+$B$12))-(MIN($A51,$B$8)*($B$9+$B$7*$B$10))</f>
        <v/>
      </c>
    </row>
    <row r="52">
      <c r="A52" s="16" t="n">
        <v>15</v>
      </c>
      <c r="B52" s="18">
        <f>(B$50-(B$50*$B$11+$B$12))-(MIN($A52,$B$8)*($B$9+$B$7*$B$10))</f>
        <v/>
      </c>
      <c r="C52" s="18">
        <f>(C$50-(C$50*$B$11+$B$12))-(MIN($A52,$B$8)*($B$9+$B$7*$B$10))</f>
        <v/>
      </c>
      <c r="D52" s="18">
        <f>(D$50-(D$50*$B$11+$B$12))-(MIN($A52,$B$8)*($B$9+$B$7*$B$10))</f>
        <v/>
      </c>
      <c r="E52" s="18">
        <f>(E$50-(E$50*$B$11+$B$12))-(MIN($A52,$B$8)*($B$9+$B$7*$B$10))</f>
        <v/>
      </c>
    </row>
    <row r="53">
      <c r="A53" s="16" t="n">
        <v>20</v>
      </c>
      <c r="B53" s="18">
        <f>(B$50-(B$50*$B$11+$B$12))-(MIN($A53,$B$8)*($B$9+$B$7*$B$10))</f>
        <v/>
      </c>
      <c r="C53" s="18">
        <f>(C$50-(C$50*$B$11+$B$12))-(MIN($A53,$B$8)*($B$9+$B$7*$B$10))</f>
        <v/>
      </c>
      <c r="D53" s="18">
        <f>(D$50-(D$50*$B$11+$B$12))-(MIN($A53,$B$8)*($B$9+$B$7*$B$10))</f>
        <v/>
      </c>
      <c r="E53" s="18">
        <f>(E$50-(E$50*$B$11+$B$12))-(MIN($A53,$B$8)*($B$9+$B$7*$B$10))</f>
        <v/>
      </c>
    </row>
    <row r="54">
      <c r="A54" s="16" t="n">
        <v>30</v>
      </c>
      <c r="B54" s="18">
        <f>(B$50-(B$50*$B$11+$B$12))-(MIN($A54,$B$8)*($B$9+$B$7*$B$10))</f>
        <v/>
      </c>
      <c r="C54" s="18">
        <f>(C$50-(C$50*$B$11+$B$12))-(MIN($A54,$B$8)*($B$9+$B$7*$B$10))</f>
        <v/>
      </c>
      <c r="D54" s="18">
        <f>(D$50-(D$50*$B$11+$B$12))-(MIN($A54,$B$8)*($B$9+$B$7*$B$10))</f>
        <v/>
      </c>
      <c r="E54" s="18">
        <f>(E$50-(E$50*$B$11+$B$12))-(MIN($A54,$B$8)*($B$9+$B$7*$B$10))</f>
        <v/>
      </c>
    </row>
    <row r="55">
      <c r="A55" s="16" t="n">
        <v>45</v>
      </c>
      <c r="B55" s="18">
        <f>(B$50-(B$50*$B$11+$B$12))-(MIN($A55,$B$8)*($B$9+$B$7*$B$10))</f>
        <v/>
      </c>
      <c r="C55" s="18">
        <f>(C$50-(C$50*$B$11+$B$12))-(MIN($A55,$B$8)*($B$9+$B$7*$B$10))</f>
        <v/>
      </c>
      <c r="D55" s="18">
        <f>(D$50-(D$50*$B$11+$B$12))-(MIN($A55,$B$8)*($B$9+$B$7*$B$10))</f>
        <v/>
      </c>
      <c r="E55" s="18">
        <f>(E$50-(E$50*$B$11+$B$12))-(MIN($A55,$B$8)*($B$9+$B$7*$B$10))</f>
        <v/>
      </c>
    </row>
    <row r="56">
      <c r="A56" s="16" t="n">
        <v>60</v>
      </c>
      <c r="B56" s="18">
        <f>(B$50-(B$50*$B$11+$B$12))-(MIN($A56,$B$8)*($B$9+$B$7*$B$10))</f>
        <v/>
      </c>
      <c r="C56" s="18">
        <f>(C$50-(C$50*$B$11+$B$12))-(MIN($A56,$B$8)*($B$9+$B$7*$B$10))</f>
        <v/>
      </c>
      <c r="D56" s="18">
        <f>(D$50-(D$50*$B$11+$B$12))-(MIN($A56,$B$8)*($B$9+$B$7*$B$10))</f>
        <v/>
      </c>
      <c r="E56" s="18">
        <f>(E$50-(E$50*$B$11+$B$12))-(MIN($A56,$B$8)*($B$9+$B$7*$B$10))</f>
        <v/>
      </c>
    </row>
    <row r="59">
      <c r="A59" s="3" t="inlineStr">
        <is>
          <t>COMPETITOR MONTHLY REFERENCE (USD list -&gt; EUR @0.93)</t>
        </is>
      </c>
      <c r="B59" s="4" t="n"/>
      <c r="C59" s="4" t="n"/>
      <c r="D59" s="4" t="n"/>
    </row>
    <row r="60">
      <c r="A60" s="11" t="inlineStr">
        <is>
          <t>Competitor</t>
        </is>
      </c>
      <c r="B60" s="11" t="inlineStr">
        <is>
          <t>Monthly USD</t>
        </is>
      </c>
      <c r="C60" s="11" t="inlineStr">
        <is>
          <t>~EUR</t>
        </is>
      </c>
      <c r="D60" s="11" t="inlineStr">
        <is>
          <t>Your 5.99 vs</t>
        </is>
      </c>
    </row>
    <row r="61">
      <c r="A61" t="inlineStr">
        <is>
          <t>Sorce</t>
        </is>
      </c>
      <c r="B61" t="inlineStr">
        <is>
          <t>$40/mo</t>
        </is>
      </c>
      <c r="C61" s="19" t="n">
        <v>37.2</v>
      </c>
      <c r="D61" t="inlineStr">
        <is>
          <t>-84%</t>
        </is>
      </c>
    </row>
    <row r="62">
      <c r="A62" t="inlineStr">
        <is>
          <t>AIApply (+credits)</t>
        </is>
      </c>
      <c r="B62" t="inlineStr">
        <is>
          <t>~$29/mo</t>
        </is>
      </c>
      <c r="C62" s="19" t="n">
        <v>26.97</v>
      </c>
      <c r="D62" t="inlineStr">
        <is>
          <t>-78%</t>
        </is>
      </c>
    </row>
    <row r="63">
      <c r="A63" t="inlineStr">
        <is>
          <t>JobCopilot Premium</t>
        </is>
      </c>
      <c r="B63" t="inlineStr">
        <is>
          <t>$39/mo</t>
        </is>
      </c>
      <c r="C63" s="19" t="n">
        <v>36.27</v>
      </c>
      <c r="D63" t="inlineStr">
        <is>
          <t>-83%</t>
        </is>
      </c>
    </row>
    <row r="64">
      <c r="A64" t="inlineStr">
        <is>
          <t>JobCopilot Elite</t>
        </is>
      </c>
      <c r="B64" t="inlineStr">
        <is>
          <t>$59/mo</t>
        </is>
      </c>
      <c r="C64" s="19" t="n">
        <v>54.87</v>
      </c>
      <c r="D64" t="inlineStr">
        <is>
          <t>-89%</t>
        </is>
      </c>
    </row>
    <row r="65">
      <c r="A65" t="inlineStr">
        <is>
          <t>Sprout</t>
        </is>
      </c>
      <c r="B65" t="inlineStr">
        <is>
          <t>$19.99/mo</t>
        </is>
      </c>
      <c r="C65" s="19" t="n">
        <v>18.59</v>
      </c>
      <c r="D65" t="inlineStr">
        <is>
          <t>-68%</t>
        </is>
      </c>
    </row>
    <row r="66">
      <c r="A66" t="inlineStr">
        <is>
          <t>Teal</t>
        </is>
      </c>
      <c r="B66" t="inlineStr">
        <is>
          <t>$9/wk eq.</t>
        </is>
      </c>
      <c r="C66" s="19" t="n">
        <v>36</v>
      </c>
      <c r="D66" t="inlineStr">
        <is>
          <t>-83%</t>
        </is>
      </c>
    </row>
    <row r="69">
      <c r="A69" s="11" t="inlineStr">
        <is>
          <t>NOTES</t>
        </is>
      </c>
    </row>
    <row r="70">
      <c r="A70" s="2" t="inlineStr">
        <is>
          <t>* PRICE IS EDITABLE - change the monthly price cell to any value; the whole sheet + both grids recompute.</t>
        </is>
      </c>
    </row>
    <row r="71">
      <c r="A71" s="2" t="inlineStr">
        <is>
          <t>* 'Premium-on-fail': Sonnet generates; frontier (Opus-class) model only re-runs apps that fail the ATS eval threshold.</t>
        </is>
      </c>
    </row>
    <row r="72">
      <c r="A72" s="2" t="inlineStr">
        <is>
          <t>* Fair-use cap is the key margin protector - without it heavy users turn the tier loss-making.</t>
        </is>
      </c>
    </row>
    <row r="73">
      <c r="A73" s="2" t="inlineStr">
        <is>
          <t>* Infra is charged in FULL to this cohort (conservative). Set it to a shared slice for a blended view.</t>
        </is>
      </c>
    </row>
    <row r="74">
      <c r="A74" s="2" t="inlineStr">
        <is>
          <t>* Planning estimates from Business Planning/Business Documents/06-Financial-Model.md. Not a forecast.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2026-06-14T01:24:59Z</dcterms:created>
  <dcterms:modified xsi:type="dcterms:W3CDTF">2026-06-14T01:24:59Z</dcterms:modified>
</cp:coreProperties>
</file>
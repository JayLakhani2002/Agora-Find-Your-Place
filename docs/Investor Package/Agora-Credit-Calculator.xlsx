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redit Pricing" sheetId="2" state="visible" r:id="rId2"/>
    <sheet name="Student Usage" sheetId="3" state="visible" r:id="rId3"/>
    <sheet name="Credit Packs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"/>
    <numFmt numFmtId="165" formatCode="0.000"/>
    <numFmt numFmtId="166" formatCode="0.0%"/>
    <numFmt numFmtId="167" formatCode="€#,##0.00"/>
    <numFmt numFmtId="168" formatCode="$#,##0.0000"/>
    <numFmt numFmtId="169" formatCode="€#,##0.0000"/>
    <numFmt numFmtId="170" formatCode="#,##0.0"/>
    <numFmt numFmtId="171" formatCode="#,##0.0&quot; months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F3A5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666666"/>
      <sz val="9"/>
    </font>
    <font>
      <name val="Calibri"/>
      <b val="1"/>
      <color rgb="008A1C1C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FF4D6"/>
      </patternFill>
    </fill>
    <fill>
      <patternFill patternType="solid">
        <fgColor rgb="00DDE7F0"/>
      </patternFill>
    </fill>
    <fill>
      <patternFill patternType="solid">
        <fgColor rgb="00FFE08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4" borderId="1" pivotButton="0" quotePrefix="0" xfId="0"/>
    <xf numFmtId="165" fontId="5" fillId="4" borderId="1" pivotButton="0" quotePrefix="0" xfId="0"/>
    <xf numFmtId="0" fontId="5" fillId="0" borderId="1" pivotButton="0" quotePrefix="0" xfId="0"/>
    <xf numFmtId="3" fontId="5" fillId="4" borderId="1" pivotButton="0" quotePrefix="0" xfId="0"/>
    <xf numFmtId="164" fontId="5" fillId="0" borderId="1" pivotButton="0" quotePrefix="0" xfId="0"/>
    <xf numFmtId="166" fontId="5" fillId="4" borderId="1" pivotButton="0" quotePrefix="0" xfId="0"/>
    <xf numFmtId="167" fontId="5" fillId="4" borderId="1" pivotButton="0" quotePrefix="0" xfId="0"/>
    <xf numFmtId="0" fontId="6" fillId="0" borderId="0" pivotButton="0" quotePrefix="0" xfId="0"/>
    <xf numFmtId="3" fontId="5" fillId="0" borderId="1" pivotButton="0" quotePrefix="0" xfId="0"/>
    <xf numFmtId="168" fontId="5" fillId="0" borderId="1" pivotButton="0" quotePrefix="0" xfId="0"/>
    <xf numFmtId="169" fontId="5" fillId="0" borderId="1" pivotButton="0" quotePrefix="0" xfId="0"/>
    <xf numFmtId="167" fontId="5" fillId="0" borderId="1" pivotButton="0" quotePrefix="0" xfId="0"/>
    <xf numFmtId="166" fontId="5" fillId="0" borderId="1" pivotButton="0" quotePrefix="0" xfId="0"/>
    <xf numFmtId="169" fontId="4" fillId="4" borderId="1" pivotButton="0" quotePrefix="0" xfId="0"/>
    <xf numFmtId="170" fontId="5" fillId="0" borderId="1" pivotButton="0" quotePrefix="0" xfId="0"/>
    <xf numFmtId="0" fontId="4" fillId="5" borderId="1" pivotButton="0" quotePrefix="0" xfId="0"/>
    <xf numFmtId="0" fontId="5" fillId="5" borderId="1" pivotButton="0" quotePrefix="0" xfId="0"/>
    <xf numFmtId="170" fontId="4" fillId="5" borderId="1" pivotButton="0" quotePrefix="0" xfId="0"/>
    <xf numFmtId="169" fontId="4" fillId="5" borderId="1" pivotButton="0" quotePrefix="0" xfId="0"/>
    <xf numFmtId="167" fontId="5" fillId="5" borderId="1" pivotButton="0" quotePrefix="0" xfId="0"/>
    <xf numFmtId="166" fontId="5" fillId="5" borderId="1" pivotButton="0" quotePrefix="0" xfId="0"/>
    <xf numFmtId="171" fontId="5" fillId="0" borderId="1" pivotButton="0" quotePrefix="0" xfId="0"/>
    <xf numFmtId="169" fontId="5" fillId="4" borderId="1" pivotButton="0" quotePrefix="0" xfId="0"/>
    <xf numFmtId="0" fontId="7" fillId="6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1" t="inlineStr">
        <is>
          <t>AGORA JOBS  —  CREDIT PRICING CALCULATOR   (edit the gold cells)    —    ILLUSTRATIVE • PRICES NOT FINAL</t>
        </is>
      </c>
    </row>
    <row r="3">
      <c r="A3" s="2" t="inlineStr">
        <is>
          <t>1)  Model pricing  (USD per 1,000,000 tokens)</t>
        </is>
      </c>
    </row>
    <row r="4">
      <c r="A4" s="3" t="inlineStr">
        <is>
          <t>Model</t>
        </is>
      </c>
      <c r="B4" s="3" t="inlineStr">
        <is>
          <t>Input $/1M</t>
        </is>
      </c>
      <c r="C4" s="3" t="inlineStr">
        <is>
          <t>Output $/1M</t>
        </is>
      </c>
      <c r="D4" s="3" t="inlineStr"/>
      <c r="E4" s="3" t="inlineStr"/>
      <c r="F4" s="3" t="inlineStr"/>
    </row>
    <row r="5">
      <c r="A5" s="4" t="inlineStr">
        <is>
          <t>Opus 4.8  (CV + cover letter)</t>
        </is>
      </c>
      <c r="B5" s="5" t="n">
        <v>5</v>
      </c>
      <c r="C5" s="5" t="n">
        <v>25</v>
      </c>
    </row>
    <row r="6">
      <c r="A6" s="4" t="inlineStr">
        <is>
          <t>Sonnet 4.6  (Ari advanced tasks)</t>
        </is>
      </c>
      <c r="B6" s="5" t="n">
        <v>3</v>
      </c>
      <c r="C6" s="5" t="n">
        <v>15</v>
      </c>
    </row>
    <row r="7">
      <c r="A7" s="4" t="inlineStr">
        <is>
          <t>Haiku 4.5  (Ari normal chat)</t>
        </is>
      </c>
      <c r="B7" s="5" t="n">
        <v>1</v>
      </c>
      <c r="C7" s="5" t="n">
        <v>5</v>
      </c>
    </row>
    <row r="9">
      <c r="A9" s="2" t="inlineStr">
        <is>
          <t>2)  Currency</t>
        </is>
      </c>
    </row>
    <row r="10">
      <c r="A10" s="4" t="inlineStr">
        <is>
          <t>USD → EUR rate</t>
        </is>
      </c>
      <c r="B10" s="6" t="n">
        <v>0.92</v>
      </c>
    </row>
    <row r="12">
      <c r="A12" s="2" t="inlineStr">
        <is>
          <t>3)  Token usage per action  (per generation / per message)</t>
        </is>
      </c>
    </row>
    <row r="13">
      <c r="A13" s="3" t="inlineStr">
        <is>
          <t>Action</t>
        </is>
      </c>
      <c r="B13" s="3" t="inlineStr">
        <is>
          <t>Model</t>
        </is>
      </c>
      <c r="C13" s="3" t="inlineStr">
        <is>
          <t>Input tokens</t>
        </is>
      </c>
      <c r="D13" s="3" t="inlineStr">
        <is>
          <t>Output tokens</t>
        </is>
      </c>
      <c r="E13" s="3" t="inlineStr">
        <is>
          <t>Input $/1M</t>
        </is>
      </c>
      <c r="F13" s="3" t="inlineStr">
        <is>
          <t>Output $/1M</t>
        </is>
      </c>
    </row>
    <row r="14">
      <c r="A14" s="4" t="inlineStr">
        <is>
          <t>CV generation</t>
        </is>
      </c>
      <c r="B14" s="7" t="inlineStr">
        <is>
          <t>Opus 4.8</t>
        </is>
      </c>
      <c r="C14" s="8" t="n">
        <v>3500</v>
      </c>
      <c r="D14" s="8" t="n">
        <v>1500</v>
      </c>
      <c r="E14" s="9">
        <f>$B$5</f>
        <v/>
      </c>
      <c r="F14" s="9">
        <f>$C$5</f>
        <v/>
      </c>
    </row>
    <row r="15">
      <c r="A15" s="4" t="inlineStr">
        <is>
          <t>Cover letter</t>
        </is>
      </c>
      <c r="B15" s="7" t="inlineStr">
        <is>
          <t>Opus 4.8</t>
        </is>
      </c>
      <c r="C15" s="8" t="n">
        <v>4000</v>
      </c>
      <c r="D15" s="8" t="n">
        <v>1000</v>
      </c>
      <c r="E15" s="9">
        <f>$B$5</f>
        <v/>
      </c>
      <c r="F15" s="9">
        <f>$C$5</f>
        <v/>
      </c>
    </row>
    <row r="16">
      <c r="A16" s="4" t="inlineStr">
        <is>
          <t>Ari chat message</t>
        </is>
      </c>
      <c r="B16" s="7" t="inlineStr">
        <is>
          <t>Haiku 4.5</t>
        </is>
      </c>
      <c r="C16" s="8" t="n">
        <v>1500</v>
      </c>
      <c r="D16" s="8" t="n">
        <v>400</v>
      </c>
      <c r="E16" s="9">
        <f>$B$7</f>
        <v/>
      </c>
      <c r="F16" s="9">
        <f>$C$7</f>
        <v/>
      </c>
    </row>
    <row r="17">
      <c r="A17" s="4" t="inlineStr">
        <is>
          <t>Ari advanced task</t>
        </is>
      </c>
      <c r="B17" s="7" t="inlineStr">
        <is>
          <t>Sonnet 4.6</t>
        </is>
      </c>
      <c r="C17" s="8" t="n">
        <v>6000</v>
      </c>
      <c r="D17" s="8" t="n">
        <v>1500</v>
      </c>
      <c r="E17" s="9">
        <f>$B$6</f>
        <v/>
      </c>
      <c r="F17" s="9">
        <f>$C$6</f>
        <v/>
      </c>
    </row>
    <row r="19">
      <c r="A19" s="2" t="inlineStr">
        <is>
          <t>4)  Ari session shape</t>
        </is>
      </c>
    </row>
    <row r="20">
      <c r="A20" s="4" t="inlineStr">
        <is>
          <t>Messages per session</t>
        </is>
      </c>
      <c r="B20" s="8" t="n">
        <v>20</v>
      </c>
    </row>
    <row r="21">
      <c r="A21" s="4" t="inlineStr">
        <is>
          <t>Escalation to Sonnet (% of sessions)</t>
        </is>
      </c>
      <c r="B21" s="10" t="n">
        <v>0.3</v>
      </c>
    </row>
    <row r="22">
      <c r="A22" s="4" t="inlineStr">
        <is>
          <t>Sonnet tasks per escalated session</t>
        </is>
      </c>
      <c r="B22" s="8" t="n">
        <v>1</v>
      </c>
    </row>
    <row r="24">
      <c r="A24" s="2" t="inlineStr">
        <is>
          <t>5)  Typical student usage  (per month)</t>
        </is>
      </c>
    </row>
    <row r="25">
      <c r="A25" s="4" t="inlineStr">
        <is>
          <t>CVs generated / month</t>
        </is>
      </c>
      <c r="B25" s="8" t="n">
        <v>4</v>
      </c>
    </row>
    <row r="26">
      <c r="A26" s="4" t="inlineStr">
        <is>
          <t>Cover letters / month</t>
        </is>
      </c>
      <c r="B26" s="8" t="n">
        <v>12</v>
      </c>
    </row>
    <row r="27">
      <c r="A27" s="4" t="inlineStr">
        <is>
          <t>Ari sessions / month</t>
        </is>
      </c>
      <c r="B27" s="8" t="n">
        <v>8</v>
      </c>
    </row>
    <row r="29">
      <c r="A29" s="2" t="inlineStr">
        <is>
          <t>6)  Commercial assumptions</t>
        </is>
      </c>
    </row>
    <row r="30">
      <c r="A30" s="4" t="inlineStr">
        <is>
          <t>Target gross margin</t>
        </is>
      </c>
      <c r="B30" s="10" t="n">
        <v>0.8</v>
      </c>
    </row>
    <row r="31">
      <c r="A31" s="4" t="inlineStr">
        <is>
          <t>Stripe % fee</t>
        </is>
      </c>
      <c r="B31" s="10" t="n">
        <v>0.029</v>
      </c>
    </row>
    <row r="32">
      <c r="A32" s="4" t="inlineStr">
        <is>
          <t>Stripe fixed fee (€ / transaction)</t>
        </is>
      </c>
      <c r="B32" s="11" t="n">
        <v>0.25</v>
      </c>
    </row>
    <row r="33">
      <c r="A33" s="4" t="inlineStr">
        <is>
          <t>Credit purchases / month (transactions)</t>
        </is>
      </c>
      <c r="B33" s="8" t="n">
        <v>1</v>
      </c>
    </row>
    <row r="35">
      <c r="A35" s="12" t="inlineStr">
        <is>
          <t>Gold cells are inputs — change any of them and every sheet recalculates.</t>
        </is>
      </c>
    </row>
    <row r="36">
      <c r="A36" s="28" t="inlineStr">
        <is>
          <t>Credit price (€/credit), pack sizes and the Free allowance are NOT decided yet. All euro figures below are illustrative cost-ratio anchors for modelling only.</t>
        </is>
      </c>
    </row>
  </sheetData>
  <mergeCells count="7">
    <mergeCell ref="A9:H9"/>
    <mergeCell ref="A12:H12"/>
    <mergeCell ref="A3:H3"/>
    <mergeCell ref="A29:H29"/>
    <mergeCell ref="A24:H24"/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PER-ACTION CREDIT PRICING    —    ILLUSTRATIVE • PRICES NOT FINAL</t>
        </is>
      </c>
    </row>
    <row r="3">
      <c r="A3" s="3" t="inlineStr">
        <is>
          <t>Action</t>
        </is>
      </c>
      <c r="B3" s="3" t="inlineStr">
        <is>
          <t>Input tok</t>
        </is>
      </c>
      <c r="C3" s="3" t="inlineStr">
        <is>
          <t>Output tok</t>
        </is>
      </c>
      <c r="D3" s="3" t="inlineStr">
        <is>
          <t>COGS $/action</t>
        </is>
      </c>
      <c r="E3" s="3" t="inlineStr">
        <is>
          <t>COGS €/action</t>
        </is>
      </c>
      <c r="F3" s="3" t="inlineStr">
        <is>
          <t>Credits / action</t>
        </is>
      </c>
      <c r="G3" s="3" t="inlineStr">
        <is>
          <t>COGS €/credit</t>
        </is>
      </c>
      <c r="H3" s="3" t="inlineStr">
        <is>
          <t>Retail €/credit</t>
        </is>
      </c>
      <c r="I3" s="3" t="inlineStr">
        <is>
          <t>Price €/action</t>
        </is>
      </c>
      <c r="J3" s="3" t="inlineStr">
        <is>
          <t>Gross margin</t>
        </is>
      </c>
    </row>
    <row r="4">
      <c r="A4" s="4" t="inlineStr">
        <is>
          <t>CV generation</t>
        </is>
      </c>
      <c r="B4" s="13">
        <f>Inputs!C14</f>
        <v/>
      </c>
      <c r="C4" s="13">
        <f>Inputs!D14</f>
        <v/>
      </c>
      <c r="D4" s="14">
        <f>B4*Inputs!E14/1000000+C4*Inputs!F14/1000000</f>
        <v/>
      </c>
      <c r="E4" s="15">
        <f>D4*Inputs!$B$10</f>
        <v/>
      </c>
      <c r="F4" s="8" t="n">
        <v>16</v>
      </c>
      <c r="G4" s="15">
        <f>E4/F4</f>
        <v/>
      </c>
      <c r="H4" s="15">
        <f>$B$13</f>
        <v/>
      </c>
      <c r="I4" s="16">
        <f>F4*H4</f>
        <v/>
      </c>
      <c r="J4" s="17">
        <f>(I4-E4)/I4</f>
        <v/>
      </c>
    </row>
    <row r="5">
      <c r="A5" s="4" t="inlineStr">
        <is>
          <t>Cover letter</t>
        </is>
      </c>
      <c r="B5" s="13">
        <f>Inputs!C15</f>
        <v/>
      </c>
      <c r="C5" s="13">
        <f>Inputs!D15</f>
        <v/>
      </c>
      <c r="D5" s="14">
        <f>B5*Inputs!E15/1000000+C5*Inputs!F15/1000000</f>
        <v/>
      </c>
      <c r="E5" s="15">
        <f>D5*Inputs!$B$10</f>
        <v/>
      </c>
      <c r="F5" s="8" t="n">
        <v>13</v>
      </c>
      <c r="G5" s="15">
        <f>E5/F5</f>
        <v/>
      </c>
      <c r="H5" s="15">
        <f>$B$13</f>
        <v/>
      </c>
      <c r="I5" s="16">
        <f>F5*H5</f>
        <v/>
      </c>
      <c r="J5" s="17">
        <f>(I5-E5)/I5</f>
        <v/>
      </c>
    </row>
    <row r="6">
      <c r="A6" s="4" t="inlineStr">
        <is>
          <t>Ari chat message</t>
        </is>
      </c>
      <c r="B6" s="13">
        <f>Inputs!C16</f>
        <v/>
      </c>
      <c r="C6" s="13">
        <f>Inputs!D16</f>
        <v/>
      </c>
      <c r="D6" s="14">
        <f>B6*Inputs!E16/1000000+C6*Inputs!F16/1000000</f>
        <v/>
      </c>
      <c r="E6" s="15">
        <f>D6*Inputs!$B$10</f>
        <v/>
      </c>
      <c r="F6" s="8" t="n">
        <v>1</v>
      </c>
      <c r="G6" s="15">
        <f>E6/F6</f>
        <v/>
      </c>
      <c r="H6" s="15">
        <f>$B$13</f>
        <v/>
      </c>
      <c r="I6" s="16">
        <f>F6*H6</f>
        <v/>
      </c>
      <c r="J6" s="17">
        <f>(I6-E6)/I6</f>
        <v/>
      </c>
    </row>
    <row r="7">
      <c r="A7" s="4" t="inlineStr">
        <is>
          <t>Ari advanced task</t>
        </is>
      </c>
      <c r="B7" s="13">
        <f>Inputs!C17</f>
        <v/>
      </c>
      <c r="C7" s="13">
        <f>Inputs!D17</f>
        <v/>
      </c>
      <c r="D7" s="14">
        <f>B7*Inputs!E17/1000000+C7*Inputs!F17/1000000</f>
        <v/>
      </c>
      <c r="E7" s="15">
        <f>D7*Inputs!$B$10</f>
        <v/>
      </c>
      <c r="F7" s="8" t="n">
        <v>12</v>
      </c>
      <c r="G7" s="15">
        <f>E7/F7</f>
        <v/>
      </c>
      <c r="H7" s="15">
        <f>$B$13</f>
        <v/>
      </c>
      <c r="I7" s="16">
        <f>F7*H7</f>
        <v/>
      </c>
      <c r="J7" s="17">
        <f>(I7-E7)/I7</f>
        <v/>
      </c>
    </row>
    <row r="9">
      <c r="A9" s="2" t="inlineStr">
        <is>
          <t>Global credit price</t>
        </is>
      </c>
    </row>
    <row r="10">
      <c r="A10" s="4" t="inlineStr">
        <is>
          <t>Blended COGS €/credit</t>
        </is>
      </c>
      <c r="B10" s="15">
        <f>'Student Usage'!B10</f>
        <v/>
      </c>
    </row>
    <row r="11">
      <c r="A11" s="4" t="inlineStr">
        <is>
          <t>Target gross margin</t>
        </is>
      </c>
      <c r="B11" s="17">
        <f>Inputs!B30</f>
        <v/>
      </c>
    </row>
    <row r="12">
      <c r="A12" s="4" t="inlineStr">
        <is>
          <t>Retail €/credit  (solved from margin)</t>
        </is>
      </c>
      <c r="B12" s="15">
        <f>B10/(1-B11)</f>
        <v/>
      </c>
    </row>
    <row r="13">
      <c r="A13" s="4" t="inlineStr">
        <is>
          <t>Retail €/credit  USED  (override here)</t>
        </is>
      </c>
      <c r="B13" s="18">
        <f>B12</f>
        <v/>
      </c>
    </row>
    <row r="15">
      <c r="A15" s="12" t="inlineStr">
        <is>
          <t>Credits per action default to the cost ratio vs one Ari chat message</t>
        </is>
      </c>
    </row>
    <row r="16">
      <c r="A16" s="12" t="inlineStr">
        <is>
          <t>(1 message = 1 credit). Override the 'Credits / action' column to set round prices.</t>
        </is>
      </c>
    </row>
    <row r="17">
      <c r="A17" s="12" t="inlineStr">
        <is>
          <t>B13 is a formula by default — type a number there to fix your own credit price.</t>
        </is>
      </c>
    </row>
    <row r="18">
      <c r="A18" s="29" t="inlineStr">
        <is>
          <t>⚠ Retail €/credit is illustrative (solved from the target margin). No price is finalised — type your own value in B13 to test scenarios.</t>
        </is>
      </c>
    </row>
  </sheetData>
  <mergeCells count="2">
    <mergeCell ref="A1:J1"/>
    <mergeCell ref="A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" t="inlineStr">
        <is>
          <t>TYPICAL STUDENT — MONTHLY ECONOMICS    —    ILLUSTRATIVE • PRICES NOT FINAL</t>
        </is>
      </c>
    </row>
    <row r="3">
      <c r="A3" s="3" t="inlineStr">
        <is>
          <t>Action</t>
        </is>
      </c>
      <c r="B3" s="3" t="inlineStr">
        <is>
          <t>Qty / month</t>
        </is>
      </c>
      <c r="C3" s="3" t="inlineStr">
        <is>
          <t>Credits each</t>
        </is>
      </c>
      <c r="D3" s="3" t="inlineStr">
        <is>
          <t>Total credits</t>
        </is>
      </c>
      <c r="E3" s="3" t="inlineStr">
        <is>
          <t>COGS € each</t>
        </is>
      </c>
      <c r="F3" s="3" t="inlineStr">
        <is>
          <t>Total COGS €</t>
        </is>
      </c>
    </row>
    <row r="4">
      <c r="A4" s="4" t="inlineStr">
        <is>
          <t>CV generation</t>
        </is>
      </c>
      <c r="B4" s="19">
        <f>Inputs!B25</f>
        <v/>
      </c>
      <c r="C4" s="13">
        <f>'Credit Pricing'!F4</f>
        <v/>
      </c>
      <c r="D4" s="19">
        <f>B4*C4</f>
        <v/>
      </c>
      <c r="E4" s="15">
        <f>'Credit Pricing'!E4</f>
        <v/>
      </c>
      <c r="F4" s="15">
        <f>B4*E4</f>
        <v/>
      </c>
    </row>
    <row r="5">
      <c r="A5" s="4" t="inlineStr">
        <is>
          <t>Cover letter</t>
        </is>
      </c>
      <c r="B5" s="19">
        <f>Inputs!B26</f>
        <v/>
      </c>
      <c r="C5" s="13">
        <f>'Credit Pricing'!F5</f>
        <v/>
      </c>
      <c r="D5" s="19">
        <f>B5*C5</f>
        <v/>
      </c>
      <c r="E5" s="15">
        <f>'Credit Pricing'!E5</f>
        <v/>
      </c>
      <c r="F5" s="15">
        <f>B5*E5</f>
        <v/>
      </c>
    </row>
    <row r="6">
      <c r="A6" s="4" t="inlineStr">
        <is>
          <t>Ari chat message</t>
        </is>
      </c>
      <c r="B6" s="19">
        <f>Inputs!B27*Inputs!B20</f>
        <v/>
      </c>
      <c r="C6" s="13">
        <f>'Credit Pricing'!F6</f>
        <v/>
      </c>
      <c r="D6" s="19">
        <f>B6*C6</f>
        <v/>
      </c>
      <c r="E6" s="15">
        <f>'Credit Pricing'!E6</f>
        <v/>
      </c>
      <c r="F6" s="15">
        <f>B6*E6</f>
        <v/>
      </c>
    </row>
    <row r="7">
      <c r="A7" s="4" t="inlineStr">
        <is>
          <t>Ari advanced task</t>
        </is>
      </c>
      <c r="B7" s="19">
        <f>Inputs!B27*Inputs!B21*Inputs!B22</f>
        <v/>
      </c>
      <c r="C7" s="13">
        <f>'Credit Pricing'!F7</f>
        <v/>
      </c>
      <c r="D7" s="19">
        <f>B7*C7</f>
        <v/>
      </c>
      <c r="E7" s="15">
        <f>'Credit Pricing'!E7</f>
        <v/>
      </c>
      <c r="F7" s="15">
        <f>B7*E7</f>
        <v/>
      </c>
    </row>
    <row r="8">
      <c r="A8" s="20" t="inlineStr">
        <is>
          <t>TOTAL / month</t>
        </is>
      </c>
      <c r="B8" s="21" t="inlineStr"/>
      <c r="C8" s="21" t="inlineStr"/>
      <c r="D8" s="22">
        <f>SUM(D4:D7)</f>
        <v/>
      </c>
      <c r="E8" s="21" t="inlineStr"/>
      <c r="F8" s="23">
        <f>SUM(F4:F7)</f>
        <v/>
      </c>
    </row>
    <row r="10">
      <c r="A10" s="4" t="inlineStr">
        <is>
          <t>Blended COGS €/credit</t>
        </is>
      </c>
      <c r="B10" s="15">
        <f>F8/D8</f>
        <v/>
      </c>
    </row>
    <row r="12">
      <c r="A12" s="2" t="inlineStr">
        <is>
          <t>Monthly economics at the chosen credit price</t>
        </is>
      </c>
    </row>
    <row r="13">
      <c r="A13" s="4" t="inlineStr">
        <is>
          <t>Credits used / month</t>
        </is>
      </c>
      <c r="B13" s="19">
        <f>D8</f>
        <v/>
      </c>
    </row>
    <row r="14">
      <c r="A14" s="4" t="inlineStr">
        <is>
          <t>Retail €/credit</t>
        </is>
      </c>
      <c r="B14" s="15">
        <f>'Credit Pricing'!B13</f>
        <v/>
      </c>
    </row>
    <row r="15">
      <c r="A15" s="4" t="inlineStr">
        <is>
          <t>Gross revenue €/month</t>
        </is>
      </c>
      <c r="B15" s="16">
        <f>B13*B14</f>
        <v/>
      </c>
    </row>
    <row r="16">
      <c r="A16" s="4" t="inlineStr">
        <is>
          <t>Stripe fees €/month</t>
        </is>
      </c>
      <c r="B16" s="16">
        <f>B15*Inputs!B31+Inputs!B33*Inputs!B32</f>
        <v/>
      </c>
    </row>
    <row r="17">
      <c r="A17" s="4" t="inlineStr">
        <is>
          <t>Net revenue €/month</t>
        </is>
      </c>
      <c r="B17" s="16">
        <f>B15-B16</f>
        <v/>
      </c>
    </row>
    <row r="18">
      <c r="A18" s="4" t="inlineStr">
        <is>
          <t>AI cost (COGS) €/month</t>
        </is>
      </c>
      <c r="B18" s="16">
        <f>F8</f>
        <v/>
      </c>
    </row>
    <row r="19">
      <c r="A19" s="4" t="inlineStr">
        <is>
          <t>Gross profit €/month</t>
        </is>
      </c>
      <c r="B19" s="24">
        <f>B17-B18</f>
        <v/>
      </c>
    </row>
    <row r="20">
      <c r="A20" s="4" t="inlineStr">
        <is>
          <t>Gross margin %</t>
        </is>
      </c>
      <c r="B20" s="25">
        <f>B19/B15</f>
        <v/>
      </c>
    </row>
    <row r="22">
      <c r="A22" s="2" t="inlineStr">
        <is>
          <t>Versus the old subscription pricing</t>
        </is>
      </c>
    </row>
    <row r="23">
      <c r="A23" s="4" t="inlineStr">
        <is>
          <t>Effective price student pays / month</t>
        </is>
      </c>
      <c r="B23" s="16">
        <f>B15</f>
        <v/>
      </c>
    </row>
    <row r="24">
      <c r="A24" s="4" t="inlineStr">
        <is>
          <t>Old weekly band</t>
        </is>
      </c>
      <c r="B24" s="7" t="inlineStr">
        <is>
          <t>€4.99 – €6.99 /wk</t>
        </is>
      </c>
    </row>
    <row r="25">
      <c r="A25" s="4" t="inlineStr">
        <is>
          <t>Old monthly band</t>
        </is>
      </c>
      <c r="B25" s="7" t="inlineStr">
        <is>
          <t>€5.99 – €9.99 /mo</t>
        </is>
      </c>
    </row>
    <row r="27">
      <c r="A27" s="12" t="inlineStr">
        <is>
          <t>Credits scale revenue with real usage; light users pay less, heavy users pay more — margin holds either way.</t>
        </is>
      </c>
    </row>
  </sheetData>
  <mergeCells count="3">
    <mergeCell ref="A22:F22"/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CREDIT PACK PRICING    —    ILLUSTRATIVE • PRICES NOT FINAL</t>
        </is>
      </c>
    </row>
    <row r="3">
      <c r="A3" s="3" t="inlineStr">
        <is>
          <t>Pack (credits)</t>
        </is>
      </c>
      <c r="B3" s="3" t="inlineStr">
        <is>
          <t>Price €</t>
        </is>
      </c>
      <c r="C3" s="3" t="inlineStr">
        <is>
          <t>AI cost €</t>
        </is>
      </c>
      <c r="D3" s="3" t="inlineStr">
        <is>
          <t>Net after Stripe €</t>
        </is>
      </c>
      <c r="E3" s="3" t="inlineStr">
        <is>
          <t>Margin</t>
        </is>
      </c>
      <c r="F3" s="3" t="inlineStr">
        <is>
          <t>Lasts a typical student</t>
        </is>
      </c>
    </row>
    <row r="4">
      <c r="A4" s="8" t="n">
        <v>100</v>
      </c>
      <c r="B4" s="16">
        <f>A4*'Credit Pricing'!B13</f>
        <v/>
      </c>
      <c r="C4" s="16">
        <f>A4*'Student Usage'!B10</f>
        <v/>
      </c>
      <c r="D4" s="16">
        <f>B4-(B4*Inputs!B31+Inputs!B32)</f>
        <v/>
      </c>
      <c r="E4" s="17">
        <f>(D4-C4)/B4</f>
        <v/>
      </c>
      <c r="F4" s="26">
        <f>A4/'Student Usage'!D8</f>
        <v/>
      </c>
    </row>
    <row r="5">
      <c r="A5" s="8" t="n">
        <v>250</v>
      </c>
      <c r="B5" s="16">
        <f>A5*'Credit Pricing'!B13</f>
        <v/>
      </c>
      <c r="C5" s="16">
        <f>A5*'Student Usage'!B10</f>
        <v/>
      </c>
      <c r="D5" s="16">
        <f>B5-(B5*Inputs!B31+Inputs!B32)</f>
        <v/>
      </c>
      <c r="E5" s="17">
        <f>(D5-C5)/B5</f>
        <v/>
      </c>
      <c r="F5" s="26">
        <f>A5/'Student Usage'!D8</f>
        <v/>
      </c>
    </row>
    <row r="6">
      <c r="A6" s="8" t="n">
        <v>500</v>
      </c>
      <c r="B6" s="16">
        <f>A6*'Credit Pricing'!B13</f>
        <v/>
      </c>
      <c r="C6" s="16">
        <f>A6*'Student Usage'!B10</f>
        <v/>
      </c>
      <c r="D6" s="16">
        <f>B6-(B6*Inputs!B31+Inputs!B32)</f>
        <v/>
      </c>
      <c r="E6" s="17">
        <f>(D6-C6)/B6</f>
        <v/>
      </c>
      <c r="F6" s="26">
        <f>A6/'Student Usage'!D8</f>
        <v/>
      </c>
    </row>
    <row r="7">
      <c r="A7" s="8" t="n">
        <v>1000</v>
      </c>
      <c r="B7" s="16">
        <f>A7*'Credit Pricing'!B13</f>
        <v/>
      </c>
      <c r="C7" s="16">
        <f>A7*'Student Usage'!B10</f>
        <v/>
      </c>
      <c r="D7" s="16">
        <f>B7-(B7*Inputs!B31+Inputs!B32)</f>
        <v/>
      </c>
      <c r="E7" s="17">
        <f>(D7-C7)/B7</f>
        <v/>
      </c>
      <c r="F7" s="26">
        <f>A7/'Student Usage'!D8</f>
        <v/>
      </c>
    </row>
    <row r="9">
      <c r="A9" s="12" t="inlineStr">
        <is>
          <t>Margin per pack is slightly below target because each pack is a single Stripe transaction (fixed € fee). Bigger packs = better margin.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SENSITIVITY — CREDIT PRICE vs MARGIN &amp; PROFIT    —    ILLUSTRATIVE • PRICES NOT FINAL</t>
        </is>
      </c>
    </row>
    <row r="3">
      <c r="A3" s="12" t="inlineStr">
        <is>
          <t>Per typical student (uses ='Student Usage'!D8 credits/month). Sweep the retail price per credit:</t>
        </is>
      </c>
    </row>
    <row r="5">
      <c r="A5" s="3" t="inlineStr">
        <is>
          <t>Retail €/credit</t>
        </is>
      </c>
      <c r="B5" s="3" t="inlineStr">
        <is>
          <t>Revenue €/mo</t>
        </is>
      </c>
      <c r="C5" s="3" t="inlineStr">
        <is>
          <t>Gross margin</t>
        </is>
      </c>
      <c r="D5" s="3" t="inlineStr">
        <is>
          <t>Net profit /100 users €/mo</t>
        </is>
      </c>
      <c r="E5" s="3" t="inlineStr"/>
      <c r="F5" s="3" t="inlineStr"/>
    </row>
    <row r="6">
      <c r="A6" s="27" t="n">
        <v>0.01</v>
      </c>
      <c r="B6" s="16">
        <f>A6*'Student Usage'!D8</f>
        <v/>
      </c>
      <c r="C6" s="17">
        <f>((B6-(B6*Inputs!B31+Inputs!B33*Inputs!B32))-'Student Usage'!F8)/B6</f>
        <v/>
      </c>
      <c r="D6" s="16">
        <f>((B6-(B6*Inputs!B31+Inputs!B33*Inputs!B32))-'Student Usage'!F8)*100</f>
        <v/>
      </c>
    </row>
    <row r="7">
      <c r="A7" s="27" t="n">
        <v>0.012</v>
      </c>
      <c r="B7" s="16">
        <f>A7*'Student Usage'!D8</f>
        <v/>
      </c>
      <c r="C7" s="17">
        <f>((B7-(B7*Inputs!B31+Inputs!B33*Inputs!B32))-'Student Usage'!F8)/B7</f>
        <v/>
      </c>
      <c r="D7" s="16">
        <f>((B7-(B7*Inputs!B31+Inputs!B33*Inputs!B32))-'Student Usage'!F8)*100</f>
        <v/>
      </c>
    </row>
    <row r="8">
      <c r="A8" s="27" t="n">
        <v>0.014</v>
      </c>
      <c r="B8" s="16">
        <f>A8*'Student Usage'!D8</f>
        <v/>
      </c>
      <c r="C8" s="17">
        <f>((B8-(B8*Inputs!B31+Inputs!B33*Inputs!B32))-'Student Usage'!F8)/B8</f>
        <v/>
      </c>
      <c r="D8" s="16">
        <f>((B8-(B8*Inputs!B31+Inputs!B33*Inputs!B32))-'Student Usage'!F8)*100</f>
        <v/>
      </c>
    </row>
    <row r="9">
      <c r="A9" s="27" t="n">
        <v>0.016</v>
      </c>
      <c r="B9" s="16">
        <f>A9*'Student Usage'!D8</f>
        <v/>
      </c>
      <c r="C9" s="17">
        <f>((B9-(B9*Inputs!B31+Inputs!B33*Inputs!B32))-'Student Usage'!F8)/B9</f>
        <v/>
      </c>
      <c r="D9" s="16">
        <f>((B9-(B9*Inputs!B31+Inputs!B33*Inputs!B32))-'Student Usage'!F8)*100</f>
        <v/>
      </c>
    </row>
    <row r="10">
      <c r="A10" s="27" t="n">
        <v>0.018</v>
      </c>
      <c r="B10" s="16">
        <f>A10*'Student Usage'!D8</f>
        <v/>
      </c>
      <c r="C10" s="17">
        <f>((B10-(B10*Inputs!B31+Inputs!B33*Inputs!B32))-'Student Usage'!F8)/B10</f>
        <v/>
      </c>
      <c r="D10" s="16">
        <f>((B10-(B10*Inputs!B31+Inputs!B33*Inputs!B32))-'Student Usage'!F8)*100</f>
        <v/>
      </c>
    </row>
    <row r="11">
      <c r="A11" s="27" t="n">
        <v>0.02</v>
      </c>
      <c r="B11" s="16">
        <f>A11*'Student Usage'!D8</f>
        <v/>
      </c>
      <c r="C11" s="17">
        <f>((B11-(B11*Inputs!B31+Inputs!B33*Inputs!B32))-'Student Usage'!F8)/B11</f>
        <v/>
      </c>
      <c r="D11" s="16">
        <f>((B11-(B11*Inputs!B31+Inputs!B33*Inputs!B32))-'Student Usage'!F8)*100</f>
        <v/>
      </c>
    </row>
    <row r="12">
      <c r="A12" s="27" t="n">
        <v>0.025</v>
      </c>
      <c r="B12" s="16">
        <f>A12*'Student Usage'!D8</f>
        <v/>
      </c>
      <c r="C12" s="17">
        <f>((B12-(B12*Inputs!B31+Inputs!B33*Inputs!B32))-'Student Usage'!F8)/B12</f>
        <v/>
      </c>
      <c r="D12" s="16">
        <f>((B12-(B12*Inputs!B31+Inputs!B33*Inputs!B32))-'Student Usage'!F8)*100</f>
        <v/>
      </c>
    </row>
    <row r="13">
      <c r="A13" s="27" t="n">
        <v>0.03</v>
      </c>
      <c r="B13" s="16">
        <f>A13*'Student Usage'!D8</f>
        <v/>
      </c>
      <c r="C13" s="17">
        <f>((B13-(B13*Inputs!B31+Inputs!B33*Inputs!B32))-'Student Usage'!F8)/B13</f>
        <v/>
      </c>
      <c r="D13" s="16">
        <f>((B13-(B13*Inputs!B31+Inputs!B33*Inputs!B32))-'Student Usage'!F8)*100</f>
        <v/>
      </c>
    </row>
    <row r="15">
      <c r="A15" s="12" t="inlineStr">
        <is>
          <t>Cost of goods is tiny (cents/month), so margin is driven almost entirely by the price you set per credit.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2026-06-14T01:59:54Z</dcterms:created>
  <dcterms:modified xsi:type="dcterms:W3CDTF">2026-06-14T02:12:33Z</dcterms:modified>
</cp:coreProperties>
</file>